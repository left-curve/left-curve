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haki/Documents/"/>
    </mc:Choice>
  </mc:AlternateContent>
  <xr:revisionPtr revIDLastSave="0" documentId="8_{69826B4B-9799-C644-BC94-D7A949B5E5E4}" xr6:coauthVersionLast="47" xr6:coauthVersionMax="47" xr10:uidLastSave="{00000000-0000-0000-0000-000000000000}"/>
  <bookViews>
    <workbookView xWindow="-51200" yWindow="-5960" windowWidth="51200" windowHeight="28300" xr2:uid="{76659A88-1A40-AD48-AB1F-0075291206D0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6" i="1"/>
  <c r="C5" i="1"/>
  <c r="C10" i="1" s="1"/>
  <c r="C13" i="1" s="1"/>
  <c r="C12" i="1" l="1"/>
  <c r="C14" i="1" s="1"/>
  <c r="C15" i="1" s="1"/>
</calcChain>
</file>

<file path=xl/sharedStrings.xml><?xml version="1.0" encoding="utf-8"?>
<sst xmlns="http://schemas.openxmlformats.org/spreadsheetml/2006/main" count="13" uniqueCount="13">
  <si>
    <t>Debt</t>
  </si>
  <si>
    <t>Collateral</t>
  </si>
  <si>
    <t>D1</t>
  </si>
  <si>
    <t>C1</t>
  </si>
  <si>
    <t>Current HF</t>
  </si>
  <si>
    <t>Collateral * Power</t>
  </si>
  <si>
    <t>Power</t>
  </si>
  <si>
    <t>Target</t>
  </si>
  <si>
    <t>C1 * Power</t>
  </si>
  <si>
    <t>Ratio</t>
  </si>
  <si>
    <t>Liquidated Debt</t>
  </si>
  <si>
    <t>Power * Bonus</t>
  </si>
  <si>
    <t>Liquidation 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</si>
</sst>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9" fontId="0" fillId="0" borderId="0" xfId="1" applyFont="1"/>
    <xf numFmtId="9" fontId="0" fillId="0" borderId="0" xfId="0" applyNumberFormat="1"/>
    <xf numFmtId="2" fontId="0" fillId="0" borderId="0" xfId="1" applyNumberFormat="1" applyFont="1"/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BC611-1023-854A-ABE8-264E8D99E2E5}">
  <dimension ref="B2:F15"/>
  <sheetViews>
    <sheetView tabSelected="1" zoomScale="150" zoomScaleNormal="150" workbookViewId="0">
      <selection activeCell="G8" sqref="G8"/>
    </sheetView>
  </sheetViews>
  <sheetFormatPr baseColWidth="10" defaultRowHeight="16" x14ac:dyDescent="0.2"/>
  <cols>
    <col min="1" max="1" width="3.1640625" customWidth="1"/>
    <col min="2" max="2" width="16" bestFit="1" customWidth="1"/>
    <col min="4" max="4" width="3.33203125" customWidth="1"/>
    <col min="5" max="5" width="12.83203125" bestFit="1" customWidth="1"/>
  </cols>
  <sheetData>
    <row r="2" spans="2:6" x14ac:dyDescent="0.2">
      <c r="B2" t="s">
        <v>1</v>
      </c>
      <c r="C2">
        <v>120</v>
      </c>
      <c r="E2" t="s">
        <v>4</v>
      </c>
      <c r="F2">
        <f>C2/C3</f>
        <v>1.2</v>
      </c>
    </row>
    <row r="3" spans="2:6" x14ac:dyDescent="0.2">
      <c r="B3" t="s">
        <v>0</v>
      </c>
      <c r="C3">
        <v>100</v>
      </c>
    </row>
    <row r="4" spans="2:6" x14ac:dyDescent="0.2">
      <c r="B4" t="s">
        <v>6</v>
      </c>
      <c r="C4" s="1">
        <v>0.8</v>
      </c>
    </row>
    <row r="5" spans="2:6" x14ac:dyDescent="0.2">
      <c r="B5" t="s">
        <v>5</v>
      </c>
      <c r="C5">
        <f>C2*C4</f>
        <v>96</v>
      </c>
    </row>
    <row r="6" spans="2:6" x14ac:dyDescent="0.2">
      <c r="B6" t="s">
        <v>12</v>
      </c>
      <c r="C6" s="1">
        <v>0.05</v>
      </c>
      <c r="E6" t="s">
        <v>11</v>
      </c>
      <c r="F6" s="2">
        <f>C4 * (1+C6)</f>
        <v>0.84000000000000008</v>
      </c>
    </row>
    <row r="7" spans="2:6" x14ac:dyDescent="0.2">
      <c r="B7" t="s">
        <v>7</v>
      </c>
      <c r="C7">
        <v>1.1499999999999999</v>
      </c>
    </row>
    <row r="10" spans="2:6" x14ac:dyDescent="0.2">
      <c r="B10" t="s">
        <v>10</v>
      </c>
      <c r="C10">
        <f>(C7*C3 - C5)/(C7 - C4*(1+C6))</f>
        <v>61.290322580645146</v>
      </c>
    </row>
    <row r="12" spans="2:6" x14ac:dyDescent="0.2">
      <c r="B12" t="s">
        <v>3</v>
      </c>
      <c r="C12">
        <f>C2-(C10 * (1+C6))</f>
        <v>55.645161290322591</v>
      </c>
    </row>
    <row r="13" spans="2:6" x14ac:dyDescent="0.2">
      <c r="B13" t="s">
        <v>2</v>
      </c>
      <c r="C13" s="3">
        <f>C3-C10</f>
        <v>38.709677419354854</v>
      </c>
    </row>
    <row r="14" spans="2:6" x14ac:dyDescent="0.2">
      <c r="B14" t="s">
        <v>8</v>
      </c>
      <c r="C14">
        <f>C12*C4</f>
        <v>44.516129032258078</v>
      </c>
    </row>
    <row r="15" spans="2:6" x14ac:dyDescent="0.2">
      <c r="B15" t="s">
        <v>9</v>
      </c>
      <c r="C15">
        <f>C14/C13</f>
        <v>1.1499999999999999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encicliati</dc:creator>
  <cp:lastModifiedBy>giacomo encicliati</cp:lastModifiedBy>
  <dcterms:created xsi:type="dcterms:W3CDTF">2024-12-04T15:01:13Z</dcterms:created>
  <dcterms:modified xsi:type="dcterms:W3CDTF">2024-12-04T17:39:02Z</dcterms:modified>
</cp:coreProperties>
</file>